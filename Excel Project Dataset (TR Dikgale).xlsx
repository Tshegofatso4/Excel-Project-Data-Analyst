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Tshegofatso\Downloads\"/>
    </mc:Choice>
  </mc:AlternateContent>
  <xr:revisionPtr revIDLastSave="0" documentId="8_{18A0A520-EC9C-4E19-B40A-8C303ECF1E30}"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pace" sheetId="2" r:id="rId2"/>
    <sheet name="Pivot Table" sheetId="3" r:id="rId3"/>
    <sheet name="Dashboard" sheetId="4" r:id="rId4"/>
  </sheets>
  <definedNames>
    <definedName name="_xlnm._FilterDatabase" localSheetId="0" hidden="1">bike_buyers!$A$1:$M$1001</definedName>
    <definedName name="_xlnm._FilterDatabase" localSheetId="1" hidden="1">'Working Space'!$A$1:$N$1027</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<sst xmlns="http://schemas.openxmlformats.org/spreadsheetml/2006/main" count="16482" uniqueCount="51">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</sst>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quot;#,##0.0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0" fillId="33" borderId="0" xfId="0" applyFill="1"/>
    <xf numFmtId="0" fontId="19" fillId="33" borderId="0" xfId="0" applyFont="1" applyFill="1" applyAlignment="1">
      <alignment horizontal="center" vertical="top"/>
    </xf>
    <xf numFmtId="0" fontId="0" fillId="33" borderId="0" xfId="0" applyFill="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font>
        <color rgb="FF9C0006"/>
      </font>
      <fill>
        <patternFill>
          <bgColor rgb="FFFFC7CE"/>
        </patternFill>
      </fill>
    </dxf>
    <dxf>
      <numFmt numFmtId="165" formatCode="&quot;R&quot;#,##0.00"/>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(TR Dikgale).xlsx]Pivot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##0_);_(* \(#\ ##0\);_(* "-"??_);_(@_)</c:formatCode>
                <c:ptCount val="2"/>
                <c:pt idx="0">
                  <c:v>53449.612403100778</c:v>
                </c:pt>
                <c:pt idx="1">
                  <c:v>56520.146520146518</c:v>
                </c:pt>
              </c:numCache>
            </c:numRef>
          </c:val>
          <c:extLst>
            <c:ext xmlns:c16="http://schemas.microsoft.com/office/drawing/2014/chart" uri="{C3380CC4-5D6E-409C-BE32-E72D297353CC}">
              <c16:uniqueId val="{00000000-3F6E-4221-94EF-1B7481680B0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##0_);_(* \(#\ ##0\);_(* "-"??_);_(@_)</c:formatCode>
                <c:ptCount val="2"/>
                <c:pt idx="0">
                  <c:v>55267.489711934155</c:v>
                </c:pt>
                <c:pt idx="1">
                  <c:v>59603.174603174601</c:v>
                </c:pt>
              </c:numCache>
            </c:numRef>
          </c:val>
          <c:extLst>
            <c:ext xmlns:c16="http://schemas.microsoft.com/office/drawing/2014/chart" uri="{C3380CC4-5D6E-409C-BE32-E72D297353CC}">
              <c16:uniqueId val="{00000001-3F6E-4221-94EF-1B7481680B03}"/>
            </c:ext>
          </c:extLst>
        </c:ser>
        <c:dLbls>
          <c:showLegendKey val="0"/>
          <c:showVal val="0"/>
          <c:showCatName val="0"/>
          <c:showSerName val="0"/>
          <c:showPercent val="0"/>
          <c:showBubbleSize val="0"/>
        </c:dLbls>
        <c:gapWidth val="219"/>
        <c:overlap val="-27"/>
        <c:axId val="53480927"/>
        <c:axId val="53481887"/>
      </c:barChart>
      <c:catAx>
        <c:axId val="5348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1887"/>
        <c:crosses val="autoZero"/>
        <c:auto val="1"/>
        <c:lblAlgn val="ctr"/>
        <c:lblOffset val="100"/>
        <c:noMultiLvlLbl val="0"/>
      </c:catAx>
      <c:valAx>
        <c:axId val="5348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0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(TR Dikgale).xlsx]Pivot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9DE7-494F-8AEB-E7D271ABBE0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9DE7-494F-8AEB-E7D271ABBE0E}"/>
            </c:ext>
          </c:extLst>
        </c:ser>
        <c:dLbls>
          <c:showLegendKey val="0"/>
          <c:showVal val="0"/>
          <c:showCatName val="0"/>
          <c:showSerName val="0"/>
          <c:showPercent val="0"/>
          <c:showBubbleSize val="0"/>
        </c:dLbls>
        <c:smooth val="0"/>
        <c:axId val="196170815"/>
        <c:axId val="196178495"/>
      </c:lineChart>
      <c:catAx>
        <c:axId val="196170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78495"/>
        <c:crosses val="autoZero"/>
        <c:auto val="1"/>
        <c:lblAlgn val="ctr"/>
        <c:lblOffset val="100"/>
        <c:noMultiLvlLbl val="0"/>
      </c:catAx>
      <c:valAx>
        <c:axId val="19617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(TR Dikgale).xlsx]Pivot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340</c:v>
                </c:pt>
                <c:pt idx="2">
                  <c:v>120</c:v>
                </c:pt>
              </c:numCache>
            </c:numRef>
          </c:val>
          <c:smooth val="0"/>
          <c:extLst>
            <c:ext xmlns:c16="http://schemas.microsoft.com/office/drawing/2014/chart" uri="{C3380CC4-5D6E-409C-BE32-E72D297353CC}">
              <c16:uniqueId val="{00000000-A038-4C4E-8FC1-C50207FC9BFB}"/>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41</c:v>
                </c:pt>
                <c:pt idx="1">
                  <c:v>399</c:v>
                </c:pt>
                <c:pt idx="2">
                  <c:v>55</c:v>
                </c:pt>
              </c:numCache>
            </c:numRef>
          </c:val>
          <c:smooth val="0"/>
          <c:extLst>
            <c:ext xmlns:c16="http://schemas.microsoft.com/office/drawing/2014/chart" uri="{C3380CC4-5D6E-409C-BE32-E72D297353CC}">
              <c16:uniqueId val="{00000001-A038-4C4E-8FC1-C50207FC9BFB}"/>
            </c:ext>
          </c:extLst>
        </c:ser>
        <c:dLbls>
          <c:showLegendKey val="0"/>
          <c:showVal val="0"/>
          <c:showCatName val="0"/>
          <c:showSerName val="0"/>
          <c:showPercent val="0"/>
          <c:showBubbleSize val="0"/>
        </c:dLbls>
        <c:marker val="1"/>
        <c:smooth val="0"/>
        <c:axId val="196173695"/>
        <c:axId val="196179935"/>
      </c:lineChart>
      <c:catAx>
        <c:axId val="196173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Brackets</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79935"/>
        <c:crosses val="autoZero"/>
        <c:auto val="1"/>
        <c:lblAlgn val="ctr"/>
        <c:lblOffset val="100"/>
        <c:noMultiLvlLbl val="0"/>
      </c:catAx>
      <c:valAx>
        <c:axId val="19617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7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(TR Dikgale).xlsx]Pivot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##0_);_(* \(#\ ##0\);_(* "-"??_);_(@_)</c:formatCode>
                <c:ptCount val="2"/>
                <c:pt idx="0">
                  <c:v>53449.612403100778</c:v>
                </c:pt>
                <c:pt idx="1">
                  <c:v>56520.146520146518</c:v>
                </c:pt>
              </c:numCache>
            </c:numRef>
          </c:val>
          <c:extLst>
            <c:ext xmlns:c16="http://schemas.microsoft.com/office/drawing/2014/chart" uri="{C3380CC4-5D6E-409C-BE32-E72D297353CC}">
              <c16:uniqueId val="{00000000-A23C-4532-82A4-A2E33B2A3D00}"/>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##0_);_(* \(#\ ##0\);_(* "-"??_);_(@_)</c:formatCode>
                <c:ptCount val="2"/>
                <c:pt idx="0">
                  <c:v>55267.489711934155</c:v>
                </c:pt>
                <c:pt idx="1">
                  <c:v>59603.174603174601</c:v>
                </c:pt>
              </c:numCache>
            </c:numRef>
          </c:val>
          <c:extLst>
            <c:ext xmlns:c16="http://schemas.microsoft.com/office/drawing/2014/chart" uri="{C3380CC4-5D6E-409C-BE32-E72D297353CC}">
              <c16:uniqueId val="{00000001-A23C-4532-82A4-A2E33B2A3D00}"/>
            </c:ext>
          </c:extLst>
        </c:ser>
        <c:dLbls>
          <c:showLegendKey val="0"/>
          <c:showVal val="0"/>
          <c:showCatName val="0"/>
          <c:showSerName val="0"/>
          <c:showPercent val="0"/>
          <c:showBubbleSize val="0"/>
        </c:dLbls>
        <c:gapWidth val="100"/>
        <c:overlap val="-24"/>
        <c:axId val="53480927"/>
        <c:axId val="53481887"/>
      </c:barChart>
      <c:catAx>
        <c:axId val="534809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81887"/>
        <c:crosses val="autoZero"/>
        <c:auto val="1"/>
        <c:lblAlgn val="ctr"/>
        <c:lblOffset val="100"/>
        <c:noMultiLvlLbl val="0"/>
      </c:catAx>
      <c:valAx>
        <c:axId val="534818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8092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(TR Dikgale).xlsx]Pivot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9995-40B6-BCCD-F12A7657F4B0}"/>
            </c:ext>
          </c:extLst>
        </c:ser>
        <c:ser>
          <c:idx val="1"/>
          <c:order val="1"/>
          <c:tx>
            <c:strRef>
              <c:f>'Pivot Table'!$C$20:$C$21</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9995-40B6-BCCD-F12A7657F4B0}"/>
            </c:ext>
          </c:extLst>
        </c:ser>
        <c:dLbls>
          <c:showLegendKey val="0"/>
          <c:showVal val="0"/>
          <c:showCatName val="0"/>
          <c:showSerName val="0"/>
          <c:showPercent val="0"/>
          <c:showBubbleSize val="0"/>
        </c:dLbls>
        <c:marker val="1"/>
        <c:smooth val="0"/>
        <c:axId val="196170815"/>
        <c:axId val="196178495"/>
      </c:lineChart>
      <c:catAx>
        <c:axId val="1961708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178495"/>
        <c:crosses val="autoZero"/>
        <c:auto val="1"/>
        <c:lblAlgn val="ctr"/>
        <c:lblOffset val="100"/>
        <c:noMultiLvlLbl val="0"/>
      </c:catAx>
      <c:valAx>
        <c:axId val="196178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1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(TR Dikgale).xlsx]Pivot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340</c:v>
                </c:pt>
                <c:pt idx="2">
                  <c:v>120</c:v>
                </c:pt>
              </c:numCache>
            </c:numRef>
          </c:val>
          <c:smooth val="0"/>
          <c:extLst>
            <c:ext xmlns:c16="http://schemas.microsoft.com/office/drawing/2014/chart" uri="{C3380CC4-5D6E-409C-BE32-E72D297353CC}">
              <c16:uniqueId val="{00000000-391B-48E6-8CDF-841A594C1CAD}"/>
            </c:ext>
          </c:extLst>
        </c:ser>
        <c:ser>
          <c:idx val="1"/>
          <c:order val="1"/>
          <c:tx>
            <c:strRef>
              <c:f>'Pivot Table'!$C$36:$C$37</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41</c:v>
                </c:pt>
                <c:pt idx="1">
                  <c:v>399</c:v>
                </c:pt>
                <c:pt idx="2">
                  <c:v>55</c:v>
                </c:pt>
              </c:numCache>
            </c:numRef>
          </c:val>
          <c:smooth val="0"/>
          <c:extLst>
            <c:ext xmlns:c16="http://schemas.microsoft.com/office/drawing/2014/chart" uri="{C3380CC4-5D6E-409C-BE32-E72D297353CC}">
              <c16:uniqueId val="{00000001-391B-48E6-8CDF-841A594C1CAD}"/>
            </c:ext>
          </c:extLst>
        </c:ser>
        <c:dLbls>
          <c:showLegendKey val="0"/>
          <c:showVal val="0"/>
          <c:showCatName val="0"/>
          <c:showSerName val="0"/>
          <c:showPercent val="0"/>
          <c:showBubbleSize val="0"/>
        </c:dLbls>
        <c:marker val="1"/>
        <c:smooth val="0"/>
        <c:axId val="196173695"/>
        <c:axId val="196179935"/>
      </c:lineChart>
      <c:catAx>
        <c:axId val="1961736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ZA"/>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179935"/>
        <c:crosses val="autoZero"/>
        <c:auto val="1"/>
        <c:lblAlgn val="ctr"/>
        <c:lblOffset val="100"/>
        <c:noMultiLvlLbl val="0"/>
      </c:catAx>
      <c:valAx>
        <c:axId val="196179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17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571499</xdr:colOff>
      <xdr:row>1</xdr:row>
      <xdr:rowOff>147637</xdr:rowOff>
    </xdr:from>
    <xdr:to>
      <xdr:col>12</xdr:col>
      <xdr:colOff>600074</xdr:colOff>
      <xdr:row>16</xdr:row>
      <xdr:rowOff>104775</xdr:rowOff>
    </xdr:to>
    <xdr:graphicFrame macro="">
      <xdr:nvGraphicFramePr>
        <xdr:cNvPr id="2" name="Chart 1">
          <a:extLst>
            <a:ext uri="{FF2B5EF4-FFF2-40B4-BE49-F238E27FC236}">
              <a16:creationId xmlns:a16="http://schemas.microsoft.com/office/drawing/2014/main" id="{A43E43BF-75A6-2157-D584-9F85C0B16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228599</xdr:colOff>
      <xdr:row>18</xdr:row>
      <xdr:rowOff>147636</xdr:rowOff>
    </xdr:from>
    <xdr:to>
      <xdr:col>12</xdr:col>
      <xdr:colOff>600075</xdr:colOff>
      <xdr:row>33</xdr:row>
      <xdr:rowOff>114299</xdr:rowOff>
    </xdr:to>
    <xdr:graphicFrame macro="">
      <xdr:nvGraphicFramePr>
        <xdr:cNvPr id="3" name="Chart 2">
          <a:extLst>
            <a:ext uri="{FF2B5EF4-FFF2-40B4-BE49-F238E27FC236}">
              <a16:creationId xmlns:a16="http://schemas.microsoft.com/office/drawing/2014/main" id="{E9D43919-88B5-8F23-5EB6-98E5FB6ED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304799</xdr:colOff>
      <xdr:row>34</xdr:row>
      <xdr:rowOff>23812</xdr:rowOff>
    </xdr:from>
    <xdr:to>
      <xdr:col>13</xdr:col>
      <xdr:colOff>28574</xdr:colOff>
      <xdr:row>48</xdr:row>
      <xdr:rowOff>114300</xdr:rowOff>
    </xdr:to>
    <xdr:graphicFrame macro="">
      <xdr:nvGraphicFramePr>
        <xdr:cNvPr id="4" name="Chart 3">
          <a:extLst>
            <a:ext uri="{FF2B5EF4-FFF2-40B4-BE49-F238E27FC236}">
              <a16:creationId xmlns:a16="http://schemas.microsoft.com/office/drawing/2014/main" id="{788D064A-2B3C-EA4F-E0BA-6CF29D615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76200</xdr:rowOff>
    </xdr:from>
    <xdr:to>
      <xdr:col>7</xdr:col>
      <xdr:colOff>381000</xdr:colOff>
      <xdr:row>19</xdr:row>
      <xdr:rowOff>152400</xdr:rowOff>
    </xdr:to>
    <xdr:graphicFrame macro="">
      <xdr:nvGraphicFramePr>
        <xdr:cNvPr id="2" name="Chart 1">
          <a:extLst>
            <a:ext uri="{FF2B5EF4-FFF2-40B4-BE49-F238E27FC236}">
              <a16:creationId xmlns:a16="http://schemas.microsoft.com/office/drawing/2014/main" id="{DE071FB4-7D9B-4262-B831-D6337B466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142876</xdr:rowOff>
    </xdr:from>
    <xdr:to>
      <xdr:col>15</xdr:col>
      <xdr:colOff>38100</xdr:colOff>
      <xdr:row>36</xdr:row>
      <xdr:rowOff>9526</xdr:rowOff>
    </xdr:to>
    <xdr:graphicFrame macro="">
      <xdr:nvGraphicFramePr>
        <xdr:cNvPr id="3" name="Chart 2">
          <a:extLst>
            <a:ext uri="{FF2B5EF4-FFF2-40B4-BE49-F238E27FC236}">
              <a16:creationId xmlns:a16="http://schemas.microsoft.com/office/drawing/2014/main" id="{3B7B2B3E-ED37-4C65-8963-2B6B50CD1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504825</xdr:colOff>
      <xdr:row>5</xdr:row>
      <xdr:rowOff>104775</xdr:rowOff>
    </xdr:from>
    <xdr:to>
      <xdr:col>15</xdr:col>
      <xdr:colOff>19050</xdr:colOff>
      <xdr:row>19</xdr:row>
      <xdr:rowOff>161925</xdr:rowOff>
    </xdr:to>
    <xdr:graphicFrame macro="">
      <xdr:nvGraphicFramePr>
        <xdr:cNvPr id="4" name="Chart 3">
          <a:extLst>
            <a:ext uri="{FF2B5EF4-FFF2-40B4-BE49-F238E27FC236}">
              <a16:creationId xmlns:a16="http://schemas.microsoft.com/office/drawing/2014/main" id="{34BD8E7D-2348-4C1D-8868-5F5EA3AEA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180975</xdr:colOff>
      <xdr:row>5</xdr:row>
      <xdr:rowOff>133350</xdr:rowOff>
    </xdr:from>
    <xdr:to>
      <xdr:col>18</xdr:col>
      <xdr:colOff>161925</xdr:colOff>
      <xdr:row>10</xdr:row>
      <xdr:rowOff>66675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5F499F7-001E-B3B7-A96E-A0BFB6BCA6E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782175" y="1676400"/>
              <a:ext cx="1809750" cy="8858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161925</xdr:colOff>
      <xdr:row>17</xdr:row>
      <xdr:rowOff>165100</xdr:rowOff>
    </xdr:from>
    <xdr:to>
      <xdr:col>18</xdr:col>
      <xdr:colOff>161925</xdr:colOff>
      <xdr:row>26</xdr:row>
      <xdr:rowOff>155575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5161DAD-C10A-E746-8535-81744E55296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763125" y="3994150"/>
              <a:ext cx="1828800" cy="1704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171450</xdr:colOff>
      <xdr:row>10</xdr:row>
      <xdr:rowOff>142876</xdr:rowOff>
    </xdr:from>
    <xdr:to>
      <xdr:col>18</xdr:col>
      <xdr:colOff>171450</xdr:colOff>
      <xdr:row>16</xdr:row>
      <xdr:rowOff>180976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2CE8773-5FC5-9C21-6A86-4FF5CCB824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72650" y="2638426"/>
              <a:ext cx="1828800" cy="11811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0403023" refreshedDate="46141.469963773146" createdVersion="8" refreshedVersion="8" minRefreshableVersion="3" recordCount="1026" xr:uid="{3FECB589-92C4-4952-8C37-64F0DFEE920A}">
  <cacheSource type="worksheet">
    <worksheetSource ref="A1:N1027" sheet="Working Spac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36666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FF554-E35C-4981-AF96-FFB1A50FC89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D10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CFE515-0F27-48C5-B13C-846DF301296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CD9C36-8710-4EFF-A4EB-CF7B7A30DBB4}"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CA4CB-358C-4773-A445-99A961CB0304}"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C0A17D1-EB8F-496D-9CD9-960326859390}" sourceName="Marital Status">
  <pivotTables>
    <pivotTable tabId="3" name="PivotTable2"/>
    <pivotTable tabId="3" name="PivotTable1"/>
    <pivotTable tabId="3" name="PivotTable3"/>
    <pivotTable tabId="3" name="PivotTable4"/>
  </pivotTables>
  <data>
    <tabular pivotCacheId="9366661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2747557-7E8C-478E-8DAF-A23446AB84B9}" sourceName="Education">
  <pivotTables>
    <pivotTable tabId="3" name="PivotTable3"/>
    <pivotTable tabId="3" name="PivotTable1"/>
    <pivotTable tabId="3" name="PivotTable2"/>
    <pivotTable tabId="3" name="PivotTable4"/>
  </pivotTables>
  <data>
    <tabular pivotCacheId="93666611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7A72EC-01AE-4B7C-91CB-1A80672E80DA}" sourceName="Region">
  <pivotTables>
    <pivotTable tabId="3" name="PivotTable3"/>
    <pivotTable tabId="3" name="PivotTable1"/>
    <pivotTable tabId="3" name="PivotTable2"/>
    <pivotTable tabId="3" name="PivotTable4"/>
  </pivotTables>
  <data>
    <tabular pivotCacheId="9366661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3E156FB-D566-460F-8849-90BEF01F4E9C}" cache="Slicer_Marital_Status" caption="Marital Status" style="SlicerStyleDark3" rowHeight="241300"/>
  <slicer name="Education" xr10:uid="{E8E80461-808D-4FD9-B845-30A27F5016B7}" cache="Slicer_Education" caption="Education" style="SlicerStyleDark3" rowHeight="241300"/>
  <slicer name="Region" xr10:uid="{4F967A26-F08C-4245-80AE-48222DEEB2C3}" cache="Slicer_Region" caption="Region"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791489-5061-4420-80B0-6CE7D4104D5B}" name="Table1" displayName="Table1" ref="A1:N1027" totalsRowShown="0">
  <autoFilter ref="A1:N1027" xr:uid="{90C7C9D1-D308-416B-BD88-F8A763EAC927}"/>
  <tableColumns count="14">
    <tableColumn id="1" xr3:uid="{7A339233-63BB-4DCC-BFB7-568A79F484AC}" name="ID"/>
    <tableColumn id="2" xr3:uid="{A3C96C40-C174-4512-80CF-49F60499CEA8}" name="Marital Status"/>
    <tableColumn id="3" xr3:uid="{19FED865-0ED3-4B95-A918-83AEDBE4FEE5}" name="Gender"/>
    <tableColumn id="4" xr3:uid="{730D1D75-327E-4B5F-8B73-CB94940EDCA6}" name="Income" dataDxfId="1"/>
    <tableColumn id="5" xr3:uid="{F2C5D215-8D46-4BC9-A342-A6804B8AF86D}" name="Children"/>
    <tableColumn id="6" xr3:uid="{D388E9F7-9242-4C87-B3A0-03DCF54373EE}" name="Education"/>
    <tableColumn id="7" xr3:uid="{07255D11-6ABA-4358-99CC-F809861391C9}" name="Occupation"/>
    <tableColumn id="8" xr3:uid="{1B4A08F4-BAB8-45BB-BEF4-414ADE05CAC0}" name="Home Owner"/>
    <tableColumn id="9" xr3:uid="{B039AAB3-E62C-45F2-81B6-6AD6171F10A4}" name="Cars"/>
    <tableColumn id="10" xr3:uid="{E4B2A5CC-9A09-45FA-AA13-8C0A559E6794}" name="Commute Distance"/>
    <tableColumn id="11" xr3:uid="{4D05B6E9-C9C9-455B-B07F-9438B05D2B7B}" name="Region"/>
    <tableColumn id="12" xr3:uid="{F42A34AF-53D6-444D-A35F-B16AC80C28D1}" name="Age"/>
    <tableColumn id="13" xr3:uid="{8B899CB6-3FB4-4EBC-8A6D-335F75311FA8}" name="Age Brackets">
      <calculatedColumnFormula>IF(L2&gt;55,"Old",IF(L2&gt;=31,"Middle Age",IF(L2&lt;31,"Adolescent","Invaild")))</calculatedColumnFormula>
    </tableColumn>
    <tableColumn id="14" xr3:uid="{14F1E19E-8344-4297-B895-B5C7F1345FA7}" name="Purchased Bike"/>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2" workbookViewId="0">
      <selection activeCell="L37" sqref="L37"/>
    </sheetView>
  </sheetViews>
  <sheetFormatPr defaultColWidth="11.85546875" defaultRowHeight="15" x14ac:dyDescent="0.25"/>
  <cols>
    <col min="6" max="6" width="17.7109375" bestFit="1" customWidth="1"/>
    <col min="8" max="8" width="12.7109375" bestFit="1" customWidth="1"/>
    <col min="10" max="10" width="18"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7C9D1-D308-416B-BD88-F8A763EAC927}">
  <dimension ref="A1:N1027"/>
  <sheetViews>
    <sheetView workbookViewId="0">
      <selection activeCell="I11" sqref="I11"/>
    </sheetView>
  </sheetViews>
  <sheetFormatPr defaultColWidth="11.85546875" defaultRowHeight="15" x14ac:dyDescent="0.25"/>
  <cols>
    <col min="2" max="2" width="15.5703125" bestFit="1" customWidth="1"/>
    <col min="4" max="4" width="11.85546875" style="4"/>
    <col min="6" max="6" width="17.7109375" bestFit="1" customWidth="1"/>
    <col min="7" max="7" width="13.140625" customWidth="1"/>
    <col min="8" max="8" width="14.85546875" customWidth="1"/>
    <col min="10" max="10" width="19.85546875" customWidth="1"/>
    <col min="13" max="13" width="14.5703125" bestFit="1" customWidth="1"/>
    <col min="14" max="14" width="16.85546875" bestFit="1"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38</v>
      </c>
      <c r="D2" s="4">
        <v>40000</v>
      </c>
      <c r="E2">
        <v>1</v>
      </c>
      <c r="F2" t="s">
        <v>13</v>
      </c>
      <c r="G2" t="s">
        <v>14</v>
      </c>
      <c r="H2" t="s">
        <v>15</v>
      </c>
      <c r="I2">
        <v>0</v>
      </c>
      <c r="J2" t="s">
        <v>16</v>
      </c>
      <c r="K2" t="s">
        <v>17</v>
      </c>
      <c r="L2">
        <v>42</v>
      </c>
      <c r="M2" t="str">
        <f>IF(L2&gt;55,"Old",IF(L2&gt;=31,"Middle Age",IF(L2&lt;31,"Adolescent","Invaild")))</f>
        <v>Middle Age</v>
      </c>
      <c r="N2" t="s">
        <v>18</v>
      </c>
    </row>
    <row r="3" spans="1:14" x14ac:dyDescent="0.25">
      <c r="A3">
        <v>24107</v>
      </c>
      <c r="B3" t="s">
        <v>36</v>
      </c>
      <c r="C3" t="s">
        <v>39</v>
      </c>
      <c r="D3" s="4">
        <v>30000</v>
      </c>
      <c r="E3">
        <v>3</v>
      </c>
      <c r="F3" t="s">
        <v>19</v>
      </c>
      <c r="G3" t="s">
        <v>20</v>
      </c>
      <c r="H3" t="s">
        <v>15</v>
      </c>
      <c r="I3">
        <v>1</v>
      </c>
      <c r="J3" t="s">
        <v>16</v>
      </c>
      <c r="K3" t="s">
        <v>17</v>
      </c>
      <c r="L3">
        <v>43</v>
      </c>
      <c r="M3" t="str">
        <f t="shared" ref="M3:M66" si="0">IF(L3&gt;55,"Old",IF(L3&gt;=31,"Middle Age",IF(L3&lt;31,"Adolescent","Invaild")))</f>
        <v>Middle Age</v>
      </c>
      <c r="N3" t="s">
        <v>18</v>
      </c>
    </row>
    <row r="4" spans="1:14" x14ac:dyDescent="0.25">
      <c r="A4">
        <v>14177</v>
      </c>
      <c r="B4" t="s">
        <v>36</v>
      </c>
      <c r="C4" t="s">
        <v>39</v>
      </c>
      <c r="D4" s="4">
        <v>80000</v>
      </c>
      <c r="E4">
        <v>5</v>
      </c>
      <c r="F4" t="s">
        <v>19</v>
      </c>
      <c r="G4" t="s">
        <v>21</v>
      </c>
      <c r="H4" t="s">
        <v>18</v>
      </c>
      <c r="I4">
        <v>2</v>
      </c>
      <c r="J4" t="s">
        <v>22</v>
      </c>
      <c r="K4" t="s">
        <v>17</v>
      </c>
      <c r="L4">
        <v>60</v>
      </c>
      <c r="M4" t="str">
        <f t="shared" si="0"/>
        <v>Old</v>
      </c>
      <c r="N4" t="s">
        <v>18</v>
      </c>
    </row>
    <row r="5" spans="1:14" x14ac:dyDescent="0.25">
      <c r="A5">
        <v>24381</v>
      </c>
      <c r="B5" t="s">
        <v>37</v>
      </c>
      <c r="C5" t="s">
        <v>39</v>
      </c>
      <c r="D5" s="4">
        <v>70000</v>
      </c>
      <c r="E5">
        <v>0</v>
      </c>
      <c r="F5" t="s">
        <v>13</v>
      </c>
      <c r="G5" t="s">
        <v>21</v>
      </c>
      <c r="H5" t="s">
        <v>15</v>
      </c>
      <c r="I5">
        <v>1</v>
      </c>
      <c r="J5" t="s">
        <v>23</v>
      </c>
      <c r="K5" t="s">
        <v>24</v>
      </c>
      <c r="L5">
        <v>41</v>
      </c>
      <c r="M5" t="str">
        <f t="shared" si="0"/>
        <v>Middle Age</v>
      </c>
      <c r="N5" t="s">
        <v>15</v>
      </c>
    </row>
    <row r="6" spans="1:14" x14ac:dyDescent="0.25">
      <c r="A6">
        <v>25597</v>
      </c>
      <c r="B6" t="s">
        <v>37</v>
      </c>
      <c r="C6" t="s">
        <v>39</v>
      </c>
      <c r="D6" s="4">
        <v>30000</v>
      </c>
      <c r="E6">
        <v>0</v>
      </c>
      <c r="F6" t="s">
        <v>13</v>
      </c>
      <c r="G6" t="s">
        <v>20</v>
      </c>
      <c r="H6" t="s">
        <v>18</v>
      </c>
      <c r="I6">
        <v>0</v>
      </c>
      <c r="J6" t="s">
        <v>16</v>
      </c>
      <c r="K6" t="s">
        <v>17</v>
      </c>
      <c r="L6">
        <v>36</v>
      </c>
      <c r="M6" t="str">
        <f t="shared" si="0"/>
        <v>Middle Age</v>
      </c>
      <c r="N6" t="s">
        <v>15</v>
      </c>
    </row>
    <row r="7" spans="1:14" x14ac:dyDescent="0.25">
      <c r="A7">
        <v>13507</v>
      </c>
      <c r="B7" t="s">
        <v>36</v>
      </c>
      <c r="C7" t="s">
        <v>38</v>
      </c>
      <c r="D7" s="4">
        <v>10000</v>
      </c>
      <c r="E7">
        <v>2</v>
      </c>
      <c r="F7" t="s">
        <v>19</v>
      </c>
      <c r="G7" t="s">
        <v>25</v>
      </c>
      <c r="H7" t="s">
        <v>15</v>
      </c>
      <c r="I7">
        <v>0</v>
      </c>
      <c r="J7" t="s">
        <v>26</v>
      </c>
      <c r="K7" t="s">
        <v>17</v>
      </c>
      <c r="L7">
        <v>50</v>
      </c>
      <c r="M7" t="str">
        <f t="shared" si="0"/>
        <v>Middle Age</v>
      </c>
      <c r="N7" t="s">
        <v>18</v>
      </c>
    </row>
    <row r="8" spans="1:14" x14ac:dyDescent="0.25">
      <c r="A8">
        <v>27974</v>
      </c>
      <c r="B8" t="s">
        <v>37</v>
      </c>
      <c r="C8" t="s">
        <v>39</v>
      </c>
      <c r="D8" s="4">
        <v>160000</v>
      </c>
      <c r="E8">
        <v>2</v>
      </c>
      <c r="F8" t="s">
        <v>27</v>
      </c>
      <c r="G8" t="s">
        <v>28</v>
      </c>
      <c r="H8" t="s">
        <v>15</v>
      </c>
      <c r="I8">
        <v>4</v>
      </c>
      <c r="J8" t="s">
        <v>16</v>
      </c>
      <c r="K8" t="s">
        <v>24</v>
      </c>
      <c r="L8">
        <v>33</v>
      </c>
      <c r="M8" t="str">
        <f t="shared" si="0"/>
        <v>Middle Age</v>
      </c>
      <c r="N8" t="s">
        <v>15</v>
      </c>
    </row>
    <row r="9" spans="1:14" x14ac:dyDescent="0.25">
      <c r="A9">
        <v>19364</v>
      </c>
      <c r="B9" t="s">
        <v>36</v>
      </c>
      <c r="C9" t="s">
        <v>39</v>
      </c>
      <c r="D9" s="4">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4">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4">
        <v>20000</v>
      </c>
      <c r="E21">
        <v>2</v>
      </c>
      <c r="F21" t="s">
        <v>29</v>
      </c>
      <c r="G21" t="s">
        <v>20</v>
      </c>
      <c r="H21" t="s">
        <v>15</v>
      </c>
      <c r="I21">
        <v>2</v>
      </c>
      <c r="J21" t="s">
        <v>23</v>
      </c>
      <c r="K21" t="s">
        <v>24</v>
      </c>
      <c r="L21">
        <v>55</v>
      </c>
      <c r="M21" t="str">
        <f t="shared" si="0"/>
        <v>Middle Age</v>
      </c>
      <c r="N21" t="s">
        <v>15</v>
      </c>
    </row>
    <row r="22" spans="1:14" x14ac:dyDescent="0.2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4">
        <v>30000</v>
      </c>
      <c r="E67">
        <v>2</v>
      </c>
      <c r="F67" t="s">
        <v>19</v>
      </c>
      <c r="G67" t="s">
        <v>20</v>
      </c>
      <c r="H67" t="s">
        <v>15</v>
      </c>
      <c r="I67">
        <v>2</v>
      </c>
      <c r="J67" t="s">
        <v>23</v>
      </c>
      <c r="K67" t="s">
        <v>24</v>
      </c>
      <c r="L67">
        <v>68</v>
      </c>
      <c r="M67" t="str">
        <f t="shared" ref="M67:M130" si="1">IF(L67&gt;55,"Old",IF(L67&gt;=31,"Middle Age",IF(L67&lt;31,"Adolescent","Invaild")))</f>
        <v>Old</v>
      </c>
      <c r="N67" t="s">
        <v>18</v>
      </c>
    </row>
    <row r="68" spans="1:14" x14ac:dyDescent="0.2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4">
        <v>30000</v>
      </c>
      <c r="E96">
        <v>3</v>
      </c>
      <c r="F96" t="s">
        <v>27</v>
      </c>
      <c r="G96" t="s">
        <v>14</v>
      </c>
      <c r="H96" t="s">
        <v>15</v>
      </c>
      <c r="I96">
        <v>2</v>
      </c>
      <c r="J96" t="s">
        <v>23</v>
      </c>
      <c r="K96" t="s">
        <v>24</v>
      </c>
      <c r="L96">
        <v>55</v>
      </c>
      <c r="M96" t="str">
        <f t="shared" si="1"/>
        <v>Middle Age</v>
      </c>
      <c r="N96" t="s">
        <v>18</v>
      </c>
    </row>
    <row r="97" spans="1:14" x14ac:dyDescent="0.25">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 t="shared" ref="M131:M194" si="2">IF(L131&gt;55,"Old",IF(L131&gt;=31,"Middle Age",IF(L131&lt;31,"Adolescent","Invaild")))</f>
        <v>Middle Age</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4">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4">
        <v>70000</v>
      </c>
      <c r="E195">
        <v>5</v>
      </c>
      <c r="F195" t="s">
        <v>13</v>
      </c>
      <c r="G195" t="s">
        <v>21</v>
      </c>
      <c r="H195" t="s">
        <v>15</v>
      </c>
      <c r="I195">
        <v>4</v>
      </c>
      <c r="J195" t="s">
        <v>46</v>
      </c>
      <c r="K195" t="s">
        <v>24</v>
      </c>
      <c r="L195">
        <v>41</v>
      </c>
      <c r="M195" t="str">
        <f t="shared" ref="M195:M258" si="3">IF(L195&gt;55,"Old",IF(L195&gt;=31,"Middle Age",IF(L195&lt;31,"Adolescent","Invaild")))</f>
        <v>Middle Age</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 t="shared" ref="M259:M322" si="4">IF(L259&gt;55,"Old",IF(L259&gt;=31,"Middle Age",IF(L259&lt;31,"Adolescent","Invaild")))</f>
        <v>Middle Age</v>
      </c>
      <c r="N259" t="s">
        <v>15</v>
      </c>
    </row>
    <row r="260" spans="1:14" x14ac:dyDescent="0.25">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 t="shared" ref="M323:M386" si="5">IF(L323&gt;55,"Old",IF(L323&gt;=31,"Middle Age",IF(L323&lt;31,"Adolescent","Invaild")))</f>
        <v>Middle Age</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 t="shared" ref="M387:M450" si="6">IF(L387&gt;55,"Old",IF(L387&gt;=31,"Middle Age",IF(L387&lt;31,"Adolescent","Invaild")))</f>
        <v>Middle Age</v>
      </c>
      <c r="N387" t="s">
        <v>18</v>
      </c>
    </row>
    <row r="388" spans="1:14" x14ac:dyDescent="0.25">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 t="shared" ref="M451:M514" si="7">IF(L451&gt;55,"Old",IF(L451&gt;=31,"Middle Age",IF(L451&lt;31,"Adolescent","Invaild")))</f>
        <v>Middle Age</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4">
        <v>60000</v>
      </c>
      <c r="E515">
        <v>4</v>
      </c>
      <c r="F515" t="s">
        <v>31</v>
      </c>
      <c r="G515" t="s">
        <v>28</v>
      </c>
      <c r="H515" t="s">
        <v>15</v>
      </c>
      <c r="I515">
        <v>2</v>
      </c>
      <c r="J515" t="s">
        <v>46</v>
      </c>
      <c r="K515" t="s">
        <v>32</v>
      </c>
      <c r="L515">
        <v>61</v>
      </c>
      <c r="M515" t="str">
        <f t="shared" ref="M515:M578" si="8">IF(L515&gt;55,"Old",IF(L515&gt;=31,"Middle Age",IF(L515&lt;31,"Adolescent","Invaild")))</f>
        <v>Old</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 t="shared" ref="M579:M642" si="9">IF(L579&gt;55,"Old",IF(L579&gt;=31,"Middle Age",IF(L579&lt;31,"Adolescent","Invaild")))</f>
        <v>Middle Age</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4">
        <v>50000</v>
      </c>
      <c r="E643">
        <v>4</v>
      </c>
      <c r="F643" t="s">
        <v>13</v>
      </c>
      <c r="G643" t="s">
        <v>28</v>
      </c>
      <c r="H643" t="s">
        <v>15</v>
      </c>
      <c r="I643">
        <v>2</v>
      </c>
      <c r="J643" t="s">
        <v>46</v>
      </c>
      <c r="K643" t="s">
        <v>32</v>
      </c>
      <c r="L643">
        <v>64</v>
      </c>
      <c r="M643" t="str">
        <f t="shared" ref="M643:M706" si="10">IF(L643&gt;55,"Old",IF(L643&gt;=31,"Middle Age",IF(L643&lt;31,"Adolescent","Invaild")))</f>
        <v>Old</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4">
        <v>70000</v>
      </c>
      <c r="E707">
        <v>4</v>
      </c>
      <c r="F707" t="s">
        <v>13</v>
      </c>
      <c r="G707" t="s">
        <v>28</v>
      </c>
      <c r="H707" t="s">
        <v>15</v>
      </c>
      <c r="I707">
        <v>1</v>
      </c>
      <c r="J707" t="s">
        <v>46</v>
      </c>
      <c r="K707" t="s">
        <v>32</v>
      </c>
      <c r="L707">
        <v>59</v>
      </c>
      <c r="M707" t="str">
        <f t="shared" ref="M707:M770" si="11">IF(L707&gt;55,"Old",IF(L707&gt;=31,"Middle Age",IF(L707&lt;31,"Adolescent","Invaild")))</f>
        <v>Old</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4">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 t="shared" ref="M771:M834" si="12">IF(L771&gt;55,"Old",IF(L771&gt;=31,"Middle Age",IF(L771&lt;31,"Adolescent","Invaild")))</f>
        <v>Middle Age</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4">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 t="shared" ref="M835:M898" si="13">IF(L835&gt;55,"Old",IF(L835&gt;=31,"Middle Age",IF(L835&lt;31,"Adolescent","Invaild")))</f>
        <v>Middle Age</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4">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4">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 t="shared" ref="M899:M962" si="14">IF(L899&gt;55,"Old",IF(L899&gt;=31,"Middle Age",IF(L899&lt;31,"Adolescent","Invaild")))</f>
        <v>Adolescent</v>
      </c>
      <c r="N899" t="s">
        <v>18</v>
      </c>
    </row>
    <row r="900" spans="1:14" x14ac:dyDescent="0.25">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 t="shared" ref="M963:M1026" si="15">IF(L963&gt;55,"Old",IF(L963&gt;=31,"Middle Age",IF(L963&lt;31,"Adolescent","Invaild")))</f>
        <v>Old</v>
      </c>
      <c r="N963" t="s">
        <v>18</v>
      </c>
    </row>
    <row r="964" spans="1:14" x14ac:dyDescent="0.25">
      <c r="A964">
        <v>16813</v>
      </c>
      <c r="B964" t="s">
        <v>36</v>
      </c>
      <c r="C964" t="s">
        <v>39</v>
      </c>
      <c r="D964" s="4">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row r="1002" spans="1:14" x14ac:dyDescent="0.25">
      <c r="A1002">
        <v>13507</v>
      </c>
      <c r="B1002" t="s">
        <v>36</v>
      </c>
      <c r="C1002" t="s">
        <v>38</v>
      </c>
      <c r="D1002" s="4">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39</v>
      </c>
      <c r="D1003" s="4">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38</v>
      </c>
      <c r="D1004" s="4">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37</v>
      </c>
      <c r="C1005" t="s">
        <v>38</v>
      </c>
      <c r="D1005" s="4">
        <v>90000</v>
      </c>
      <c r="E1005">
        <v>0</v>
      </c>
      <c r="F1005" t="s">
        <v>13</v>
      </c>
      <c r="G1005" t="s">
        <v>21</v>
      </c>
      <c r="H1005" t="s">
        <v>18</v>
      </c>
      <c r="I1005">
        <v>4</v>
      </c>
      <c r="J1005" t="s">
        <v>46</v>
      </c>
      <c r="K1005" t="s">
        <v>24</v>
      </c>
      <c r="L1005">
        <v>36</v>
      </c>
      <c r="M1005" t="str">
        <f t="shared" si="15"/>
        <v>Middle Age</v>
      </c>
      <c r="N1005" t="s">
        <v>18</v>
      </c>
    </row>
    <row r="1006" spans="1:14" x14ac:dyDescent="0.25">
      <c r="A1006">
        <v>11434</v>
      </c>
      <c r="B1006" t="s">
        <v>36</v>
      </c>
      <c r="C1006" t="s">
        <v>39</v>
      </c>
      <c r="D1006" s="4">
        <v>170000</v>
      </c>
      <c r="E1006">
        <v>5</v>
      </c>
      <c r="F1006" t="s">
        <v>19</v>
      </c>
      <c r="G1006" t="s">
        <v>21</v>
      </c>
      <c r="H1006" t="s">
        <v>15</v>
      </c>
      <c r="I1006">
        <v>0</v>
      </c>
      <c r="J1006" t="s">
        <v>16</v>
      </c>
      <c r="K1006" t="s">
        <v>17</v>
      </c>
      <c r="L1006">
        <v>55</v>
      </c>
      <c r="M1006" t="str">
        <f t="shared" si="15"/>
        <v>Middle Age</v>
      </c>
      <c r="N1006" t="s">
        <v>18</v>
      </c>
    </row>
    <row r="1007" spans="1:14" x14ac:dyDescent="0.25">
      <c r="A1007">
        <v>25323</v>
      </c>
      <c r="B1007" t="s">
        <v>36</v>
      </c>
      <c r="C1007" t="s">
        <v>39</v>
      </c>
      <c r="D1007" s="4">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39</v>
      </c>
      <c r="D1008" s="4">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38</v>
      </c>
      <c r="D1009" s="4">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39</v>
      </c>
      <c r="D1010" s="4">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38</v>
      </c>
      <c r="D1011" s="4">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39</v>
      </c>
      <c r="D1012" s="4">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39</v>
      </c>
      <c r="D1013" s="4">
        <v>20000</v>
      </c>
      <c r="E1013">
        <v>2</v>
      </c>
      <c r="F1013" t="s">
        <v>29</v>
      </c>
      <c r="G1013" t="s">
        <v>20</v>
      </c>
      <c r="H1013" t="s">
        <v>15</v>
      </c>
      <c r="I1013">
        <v>2</v>
      </c>
      <c r="J1013" t="s">
        <v>23</v>
      </c>
      <c r="K1013" t="s">
        <v>24</v>
      </c>
      <c r="L1013">
        <v>55</v>
      </c>
      <c r="M1013" t="str">
        <f t="shared" si="15"/>
        <v>Middle Age</v>
      </c>
      <c r="N1013" t="s">
        <v>15</v>
      </c>
    </row>
    <row r="1014" spans="1:14" x14ac:dyDescent="0.25">
      <c r="A1014">
        <v>25598</v>
      </c>
      <c r="B1014" t="s">
        <v>36</v>
      </c>
      <c r="C1014" t="s">
        <v>38</v>
      </c>
      <c r="D1014" s="4">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38</v>
      </c>
      <c r="D1015" s="4">
        <v>80000</v>
      </c>
      <c r="E1015">
        <v>0</v>
      </c>
      <c r="F1015" t="s">
        <v>13</v>
      </c>
      <c r="G1015" t="s">
        <v>21</v>
      </c>
      <c r="H1015" t="s">
        <v>15</v>
      </c>
      <c r="I1015">
        <v>4</v>
      </c>
      <c r="J1015" t="s">
        <v>46</v>
      </c>
      <c r="K1015" t="s">
        <v>24</v>
      </c>
      <c r="L1015">
        <v>35</v>
      </c>
      <c r="M1015" t="str">
        <f t="shared" si="15"/>
        <v>Middle Age</v>
      </c>
      <c r="N1015" t="s">
        <v>18</v>
      </c>
    </row>
    <row r="1016" spans="1:14" x14ac:dyDescent="0.25">
      <c r="A1016">
        <v>19193</v>
      </c>
      <c r="B1016" t="s">
        <v>37</v>
      </c>
      <c r="C1016" t="s">
        <v>39</v>
      </c>
      <c r="D1016" s="4">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38</v>
      </c>
      <c r="D1017" s="4">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39</v>
      </c>
      <c r="D1018" s="4">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39</v>
      </c>
      <c r="D1019" s="4">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39</v>
      </c>
      <c r="D1020" s="4">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37</v>
      </c>
      <c r="C1021" t="s">
        <v>38</v>
      </c>
      <c r="D1021" s="4">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39</v>
      </c>
      <c r="D1022" s="4">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38</v>
      </c>
      <c r="D1023" s="4">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38</v>
      </c>
      <c r="D1024" s="4">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39</v>
      </c>
      <c r="D1025" s="4">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37</v>
      </c>
      <c r="C1026" t="s">
        <v>38</v>
      </c>
      <c r="D1026" s="4">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39</v>
      </c>
      <c r="D1027" s="4">
        <v>80000</v>
      </c>
      <c r="E1027">
        <v>2</v>
      </c>
      <c r="F1027" t="s">
        <v>27</v>
      </c>
      <c r="G1027" t="s">
        <v>14</v>
      </c>
      <c r="H1027" t="s">
        <v>18</v>
      </c>
      <c r="I1027">
        <v>2</v>
      </c>
      <c r="J1027" t="s">
        <v>26</v>
      </c>
      <c r="K1027" t="s">
        <v>24</v>
      </c>
      <c r="L1027">
        <v>50</v>
      </c>
      <c r="M1027" t="str">
        <f t="shared" ref="M1027" si="16">IF(L1027&gt;55,"Old",IF(L1027&gt;=31,"Middle Age",IF(L1027&lt;31,"Adolescent","Invaild")))</f>
        <v>Middle Age</v>
      </c>
      <c r="N1027" t="s">
        <v>15</v>
      </c>
    </row>
  </sheetData>
  <conditionalFormatting sqref="B2">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6F0BC-E7F1-48F9-B446-417234F3F8C2}">
  <dimension ref="A3:D107"/>
  <sheetViews>
    <sheetView topLeftCell="A54" workbookViewId="0">
      <selection activeCell="M49" sqref="L49:M49"/>
    </sheetView>
  </sheetViews>
  <sheetFormatPr defaultRowHeight="15" x14ac:dyDescent="0.25"/>
  <cols>
    <col min="1" max="1" width="22.85546875" bestFit="1" customWidth="1"/>
    <col min="2" max="2" width="16.28515625" bestFit="1" customWidth="1"/>
    <col min="3" max="3" width="7.8554687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38</v>
      </c>
      <c r="B5" s="7">
        <v>53449.612403100778</v>
      </c>
      <c r="C5" s="7">
        <v>55267.489711934155</v>
      </c>
      <c r="D5" s="7">
        <v>54331.337325349305</v>
      </c>
    </row>
    <row r="6" spans="1:4" x14ac:dyDescent="0.25">
      <c r="A6" s="6" t="s">
        <v>39</v>
      </c>
      <c r="B6" s="7">
        <v>56520.146520146518</v>
      </c>
      <c r="C6" s="7">
        <v>59603.174603174601</v>
      </c>
      <c r="D6" s="7">
        <v>58000</v>
      </c>
    </row>
    <row r="7" spans="1:4" x14ac:dyDescent="0.25">
      <c r="A7" s="6" t="s">
        <v>42</v>
      </c>
      <c r="B7" s="7">
        <v>55028.248587570619</v>
      </c>
      <c r="C7" s="7">
        <v>57474.747474747477</v>
      </c>
      <c r="D7" s="7">
        <v>56208.576998050681</v>
      </c>
    </row>
    <row r="20" spans="1:4" x14ac:dyDescent="0.25">
      <c r="A20" s="5" t="s">
        <v>45</v>
      </c>
      <c r="B20" s="5" t="s">
        <v>44</v>
      </c>
    </row>
    <row r="21" spans="1:4" x14ac:dyDescent="0.25">
      <c r="A21" s="5" t="s">
        <v>41</v>
      </c>
      <c r="B21" t="s">
        <v>18</v>
      </c>
      <c r="C21" t="s">
        <v>15</v>
      </c>
      <c r="D21" t="s">
        <v>42</v>
      </c>
    </row>
    <row r="22" spans="1:4" x14ac:dyDescent="0.25">
      <c r="A22" s="6" t="s">
        <v>16</v>
      </c>
      <c r="B22" s="3">
        <v>171</v>
      </c>
      <c r="C22" s="3">
        <v>207</v>
      </c>
      <c r="D22" s="3">
        <v>378</v>
      </c>
    </row>
    <row r="23" spans="1:4" x14ac:dyDescent="0.25">
      <c r="A23" s="6" t="s">
        <v>26</v>
      </c>
      <c r="B23" s="3">
        <v>93</v>
      </c>
      <c r="C23" s="3">
        <v>83</v>
      </c>
      <c r="D23" s="3">
        <v>176</v>
      </c>
    </row>
    <row r="24" spans="1:4" x14ac:dyDescent="0.25">
      <c r="A24" s="6" t="s">
        <v>22</v>
      </c>
      <c r="B24" s="3">
        <v>67</v>
      </c>
      <c r="C24" s="3">
        <v>95</v>
      </c>
      <c r="D24" s="3">
        <v>162</v>
      </c>
    </row>
    <row r="25" spans="1:4" x14ac:dyDescent="0.25">
      <c r="A25" s="6" t="s">
        <v>23</v>
      </c>
      <c r="B25" s="3">
        <v>120</v>
      </c>
      <c r="C25" s="3">
        <v>77</v>
      </c>
      <c r="D25" s="3">
        <v>197</v>
      </c>
    </row>
    <row r="26" spans="1:4" x14ac:dyDescent="0.25">
      <c r="A26" s="6" t="s">
        <v>46</v>
      </c>
      <c r="B26" s="3">
        <v>80</v>
      </c>
      <c r="C26" s="3">
        <v>33</v>
      </c>
      <c r="D26" s="3">
        <v>113</v>
      </c>
    </row>
    <row r="27" spans="1:4" x14ac:dyDescent="0.25">
      <c r="A27" s="6" t="s">
        <v>42</v>
      </c>
      <c r="B27" s="3">
        <v>531</v>
      </c>
      <c r="C27" s="3">
        <v>495</v>
      </c>
      <c r="D27" s="3">
        <v>1026</v>
      </c>
    </row>
    <row r="36" spans="1:4" x14ac:dyDescent="0.25">
      <c r="A36" s="5" t="s">
        <v>45</v>
      </c>
      <c r="B36" s="5" t="s">
        <v>44</v>
      </c>
    </row>
    <row r="37" spans="1:4" x14ac:dyDescent="0.25">
      <c r="A37" s="5" t="s">
        <v>41</v>
      </c>
      <c r="B37" t="s">
        <v>18</v>
      </c>
      <c r="C37" t="s">
        <v>15</v>
      </c>
      <c r="D37" t="s">
        <v>42</v>
      </c>
    </row>
    <row r="38" spans="1:4" x14ac:dyDescent="0.25">
      <c r="A38" s="6" t="s">
        <v>47</v>
      </c>
      <c r="B38" s="3">
        <v>71</v>
      </c>
      <c r="C38" s="3">
        <v>41</v>
      </c>
      <c r="D38" s="3">
        <v>112</v>
      </c>
    </row>
    <row r="39" spans="1:4" x14ac:dyDescent="0.25">
      <c r="A39" s="6" t="s">
        <v>48</v>
      </c>
      <c r="B39" s="3">
        <v>340</v>
      </c>
      <c r="C39" s="3">
        <v>399</v>
      </c>
      <c r="D39" s="3">
        <v>739</v>
      </c>
    </row>
    <row r="40" spans="1:4" x14ac:dyDescent="0.25">
      <c r="A40" s="6" t="s">
        <v>49</v>
      </c>
      <c r="B40" s="3">
        <v>120</v>
      </c>
      <c r="C40" s="3">
        <v>55</v>
      </c>
      <c r="D40" s="3">
        <v>175</v>
      </c>
    </row>
    <row r="41" spans="1:4" x14ac:dyDescent="0.25">
      <c r="A41" s="6" t="s">
        <v>42</v>
      </c>
      <c r="B41" s="3">
        <v>531</v>
      </c>
      <c r="C41" s="3">
        <v>495</v>
      </c>
      <c r="D41" s="3">
        <v>1026</v>
      </c>
    </row>
    <row r="52" spans="1:4" x14ac:dyDescent="0.25">
      <c r="A52" s="5" t="s">
        <v>45</v>
      </c>
      <c r="B52" s="5" t="s">
        <v>44</v>
      </c>
    </row>
    <row r="53" spans="1:4" x14ac:dyDescent="0.25">
      <c r="A53" s="5" t="s">
        <v>41</v>
      </c>
      <c r="B53" t="s">
        <v>18</v>
      </c>
      <c r="C53" t="s">
        <v>15</v>
      </c>
      <c r="D53" t="s">
        <v>42</v>
      </c>
    </row>
    <row r="54" spans="1:4" x14ac:dyDescent="0.25">
      <c r="A54" s="6">
        <v>25</v>
      </c>
      <c r="B54" s="3">
        <v>2</v>
      </c>
      <c r="C54" s="3">
        <v>4</v>
      </c>
      <c r="D54" s="3">
        <v>6</v>
      </c>
    </row>
    <row r="55" spans="1:4" x14ac:dyDescent="0.25">
      <c r="A55" s="6">
        <v>26</v>
      </c>
      <c r="B55" s="3">
        <v>8</v>
      </c>
      <c r="C55" s="3">
        <v>9</v>
      </c>
      <c r="D55" s="3">
        <v>17</v>
      </c>
    </row>
    <row r="56" spans="1:4" x14ac:dyDescent="0.25">
      <c r="A56" s="6">
        <v>27</v>
      </c>
      <c r="B56" s="3">
        <v>15</v>
      </c>
      <c r="C56" s="3">
        <v>8</v>
      </c>
      <c r="D56" s="3">
        <v>23</v>
      </c>
    </row>
    <row r="57" spans="1:4" x14ac:dyDescent="0.25">
      <c r="A57" s="6">
        <v>28</v>
      </c>
      <c r="B57" s="3">
        <v>12</v>
      </c>
      <c r="C57" s="3">
        <v>10</v>
      </c>
      <c r="D57" s="3">
        <v>22</v>
      </c>
    </row>
    <row r="58" spans="1:4" x14ac:dyDescent="0.25">
      <c r="A58" s="6">
        <v>29</v>
      </c>
      <c r="B58" s="3">
        <v>11</v>
      </c>
      <c r="C58" s="3">
        <v>6</v>
      </c>
      <c r="D58" s="3">
        <v>17</v>
      </c>
    </row>
    <row r="59" spans="1:4" x14ac:dyDescent="0.25">
      <c r="A59" s="6">
        <v>30</v>
      </c>
      <c r="B59" s="3">
        <v>23</v>
      </c>
      <c r="C59" s="3">
        <v>4</v>
      </c>
      <c r="D59" s="3">
        <v>27</v>
      </c>
    </row>
    <row r="60" spans="1:4" x14ac:dyDescent="0.25">
      <c r="A60" s="6">
        <v>31</v>
      </c>
      <c r="B60" s="3">
        <v>18</v>
      </c>
      <c r="C60" s="3">
        <v>8</v>
      </c>
      <c r="D60" s="3">
        <v>26</v>
      </c>
    </row>
    <row r="61" spans="1:4" x14ac:dyDescent="0.25">
      <c r="A61" s="6">
        <v>32</v>
      </c>
      <c r="B61" s="3">
        <v>19</v>
      </c>
      <c r="C61" s="3">
        <v>15</v>
      </c>
      <c r="D61" s="3">
        <v>34</v>
      </c>
    </row>
    <row r="62" spans="1:4" x14ac:dyDescent="0.25">
      <c r="A62" s="6">
        <v>33</v>
      </c>
      <c r="B62" s="3">
        <v>8</v>
      </c>
      <c r="C62" s="3">
        <v>13</v>
      </c>
      <c r="D62" s="3">
        <v>21</v>
      </c>
    </row>
    <row r="63" spans="1:4" x14ac:dyDescent="0.25">
      <c r="A63" s="6">
        <v>34</v>
      </c>
      <c r="B63" s="3">
        <v>13</v>
      </c>
      <c r="C63" s="3">
        <v>19</v>
      </c>
      <c r="D63" s="3">
        <v>32</v>
      </c>
    </row>
    <row r="64" spans="1:4" x14ac:dyDescent="0.25">
      <c r="A64" s="6">
        <v>35</v>
      </c>
      <c r="B64" s="3">
        <v>15</v>
      </c>
      <c r="C64" s="3">
        <v>25</v>
      </c>
      <c r="D64" s="3">
        <v>40</v>
      </c>
    </row>
    <row r="65" spans="1:4" x14ac:dyDescent="0.25">
      <c r="A65" s="6">
        <v>36</v>
      </c>
      <c r="B65" s="3">
        <v>8</v>
      </c>
      <c r="C65" s="3">
        <v>31</v>
      </c>
      <c r="D65" s="3">
        <v>39</v>
      </c>
    </row>
    <row r="66" spans="1:4" x14ac:dyDescent="0.25">
      <c r="A66" s="6">
        <v>37</v>
      </c>
      <c r="B66" s="3">
        <v>4</v>
      </c>
      <c r="C66" s="3">
        <v>28</v>
      </c>
      <c r="D66" s="3">
        <v>32</v>
      </c>
    </row>
    <row r="67" spans="1:4" x14ac:dyDescent="0.25">
      <c r="A67" s="6">
        <v>38</v>
      </c>
      <c r="B67" s="3">
        <v>8</v>
      </c>
      <c r="C67" s="3">
        <v>30</v>
      </c>
      <c r="D67" s="3">
        <v>38</v>
      </c>
    </row>
    <row r="68" spans="1:4" x14ac:dyDescent="0.25">
      <c r="A68" s="6">
        <v>39</v>
      </c>
      <c r="B68" s="3">
        <v>10</v>
      </c>
      <c r="C68" s="3">
        <v>12</v>
      </c>
      <c r="D68" s="3">
        <v>22</v>
      </c>
    </row>
    <row r="69" spans="1:4" x14ac:dyDescent="0.25">
      <c r="A69" s="6">
        <v>40</v>
      </c>
      <c r="B69" s="3">
        <v>25</v>
      </c>
      <c r="C69" s="3">
        <v>19</v>
      </c>
      <c r="D69" s="3">
        <v>44</v>
      </c>
    </row>
    <row r="70" spans="1:4" x14ac:dyDescent="0.25">
      <c r="A70" s="6">
        <v>41</v>
      </c>
      <c r="B70" s="3">
        <v>13</v>
      </c>
      <c r="C70" s="3">
        <v>15</v>
      </c>
      <c r="D70" s="3">
        <v>28</v>
      </c>
    </row>
    <row r="71" spans="1:4" x14ac:dyDescent="0.25">
      <c r="A71" s="6">
        <v>42</v>
      </c>
      <c r="B71" s="3">
        <v>22</v>
      </c>
      <c r="C71" s="3">
        <v>12</v>
      </c>
      <c r="D71" s="3">
        <v>34</v>
      </c>
    </row>
    <row r="72" spans="1:4" x14ac:dyDescent="0.25">
      <c r="A72" s="6">
        <v>43</v>
      </c>
      <c r="B72" s="3">
        <v>17</v>
      </c>
      <c r="C72" s="3">
        <v>19</v>
      </c>
      <c r="D72" s="3">
        <v>36</v>
      </c>
    </row>
    <row r="73" spans="1:4" x14ac:dyDescent="0.25">
      <c r="A73" s="6">
        <v>44</v>
      </c>
      <c r="B73" s="3">
        <v>16</v>
      </c>
      <c r="C73" s="3">
        <v>12</v>
      </c>
      <c r="D73" s="3">
        <v>28</v>
      </c>
    </row>
    <row r="74" spans="1:4" x14ac:dyDescent="0.25">
      <c r="A74" s="6">
        <v>45</v>
      </c>
      <c r="B74" s="3">
        <v>18</v>
      </c>
      <c r="C74" s="3">
        <v>14</v>
      </c>
      <c r="D74" s="3">
        <v>32</v>
      </c>
    </row>
    <row r="75" spans="1:4" x14ac:dyDescent="0.25">
      <c r="A75" s="6">
        <v>46</v>
      </c>
      <c r="B75" s="3">
        <v>12</v>
      </c>
      <c r="C75" s="3">
        <v>15</v>
      </c>
      <c r="D75" s="3">
        <v>27</v>
      </c>
    </row>
    <row r="76" spans="1:4" x14ac:dyDescent="0.25">
      <c r="A76" s="6">
        <v>47</v>
      </c>
      <c r="B76" s="3">
        <v>20</v>
      </c>
      <c r="C76" s="3">
        <v>20</v>
      </c>
      <c r="D76" s="3">
        <v>40</v>
      </c>
    </row>
    <row r="77" spans="1:4" x14ac:dyDescent="0.25">
      <c r="A77" s="6">
        <v>48</v>
      </c>
      <c r="B77" s="3">
        <v>16</v>
      </c>
      <c r="C77" s="3">
        <v>13</v>
      </c>
      <c r="D77" s="3">
        <v>29</v>
      </c>
    </row>
    <row r="78" spans="1:4" x14ac:dyDescent="0.25">
      <c r="A78" s="6">
        <v>49</v>
      </c>
      <c r="B78" s="3">
        <v>15</v>
      </c>
      <c r="C78" s="3">
        <v>8</v>
      </c>
      <c r="D78" s="3">
        <v>23</v>
      </c>
    </row>
    <row r="79" spans="1:4" x14ac:dyDescent="0.25">
      <c r="A79" s="6">
        <v>50</v>
      </c>
      <c r="B79" s="3">
        <v>13</v>
      </c>
      <c r="C79" s="3">
        <v>13</v>
      </c>
      <c r="D79" s="3">
        <v>26</v>
      </c>
    </row>
    <row r="80" spans="1:4" x14ac:dyDescent="0.25">
      <c r="A80" s="6">
        <v>51</v>
      </c>
      <c r="B80" s="3">
        <v>10</v>
      </c>
      <c r="C80" s="3">
        <v>12</v>
      </c>
      <c r="D80" s="3">
        <v>22</v>
      </c>
    </row>
    <row r="81" spans="1:4" x14ac:dyDescent="0.25">
      <c r="A81" s="6">
        <v>52</v>
      </c>
      <c r="B81" s="3">
        <v>10</v>
      </c>
      <c r="C81" s="3">
        <v>15</v>
      </c>
      <c r="D81" s="3">
        <v>25</v>
      </c>
    </row>
    <row r="82" spans="1:4" x14ac:dyDescent="0.25">
      <c r="A82" s="6">
        <v>53</v>
      </c>
      <c r="B82" s="3">
        <v>11</v>
      </c>
      <c r="C82" s="3">
        <v>13</v>
      </c>
      <c r="D82" s="3">
        <v>24</v>
      </c>
    </row>
    <row r="83" spans="1:4" x14ac:dyDescent="0.25">
      <c r="A83" s="6">
        <v>54</v>
      </c>
      <c r="B83" s="3">
        <v>5</v>
      </c>
      <c r="C83" s="3">
        <v>12</v>
      </c>
      <c r="D83" s="3">
        <v>17</v>
      </c>
    </row>
    <row r="84" spans="1:4" x14ac:dyDescent="0.25">
      <c r="A84" s="6">
        <v>55</v>
      </c>
      <c r="B84" s="3">
        <v>14</v>
      </c>
      <c r="C84" s="3">
        <v>6</v>
      </c>
      <c r="D84" s="3">
        <v>20</v>
      </c>
    </row>
    <row r="85" spans="1:4" x14ac:dyDescent="0.25">
      <c r="A85" s="6">
        <v>56</v>
      </c>
      <c r="B85" s="3">
        <v>14</v>
      </c>
      <c r="C85" s="3">
        <v>3</v>
      </c>
      <c r="D85" s="3">
        <v>17</v>
      </c>
    </row>
    <row r="86" spans="1:4" x14ac:dyDescent="0.25">
      <c r="A86" s="6">
        <v>57</v>
      </c>
      <c r="B86" s="3">
        <v>4</v>
      </c>
      <c r="C86" s="3">
        <v>4</v>
      </c>
      <c r="D86" s="3">
        <v>8</v>
      </c>
    </row>
    <row r="87" spans="1:4" x14ac:dyDescent="0.25">
      <c r="A87" s="6">
        <v>58</v>
      </c>
      <c r="B87" s="3">
        <v>8</v>
      </c>
      <c r="C87" s="3">
        <v>4</v>
      </c>
      <c r="D87" s="3">
        <v>12</v>
      </c>
    </row>
    <row r="88" spans="1:4" x14ac:dyDescent="0.25">
      <c r="A88" s="6">
        <v>59</v>
      </c>
      <c r="B88" s="3">
        <v>14</v>
      </c>
      <c r="C88" s="3">
        <v>7</v>
      </c>
      <c r="D88" s="3">
        <v>21</v>
      </c>
    </row>
    <row r="89" spans="1:4" x14ac:dyDescent="0.25">
      <c r="A89" s="6">
        <v>60</v>
      </c>
      <c r="B89" s="3">
        <v>8</v>
      </c>
      <c r="C89" s="3">
        <v>7</v>
      </c>
      <c r="D89" s="3">
        <v>15</v>
      </c>
    </row>
    <row r="90" spans="1:4" x14ac:dyDescent="0.25">
      <c r="A90" s="6">
        <v>61</v>
      </c>
      <c r="B90" s="3">
        <v>5</v>
      </c>
      <c r="C90" s="3">
        <v>4</v>
      </c>
      <c r="D90" s="3">
        <v>9</v>
      </c>
    </row>
    <row r="91" spans="1:4" x14ac:dyDescent="0.25">
      <c r="A91" s="6">
        <v>62</v>
      </c>
      <c r="B91" s="3">
        <v>9</v>
      </c>
      <c r="C91" s="3">
        <v>4</v>
      </c>
      <c r="D91" s="3">
        <v>13</v>
      </c>
    </row>
    <row r="92" spans="1:4" x14ac:dyDescent="0.25">
      <c r="A92" s="6">
        <v>63</v>
      </c>
      <c r="B92" s="3">
        <v>9</v>
      </c>
      <c r="C92" s="3">
        <v>2</v>
      </c>
      <c r="D92" s="3">
        <v>11</v>
      </c>
    </row>
    <row r="93" spans="1:4" x14ac:dyDescent="0.25">
      <c r="A93" s="6">
        <v>64</v>
      </c>
      <c r="B93" s="3">
        <v>7</v>
      </c>
      <c r="C93" s="3">
        <v>3</v>
      </c>
      <c r="D93" s="3">
        <v>10</v>
      </c>
    </row>
    <row r="94" spans="1:4" x14ac:dyDescent="0.25">
      <c r="A94" s="6">
        <v>65</v>
      </c>
      <c r="B94" s="3">
        <v>6</v>
      </c>
      <c r="C94" s="3">
        <v>3</v>
      </c>
      <c r="D94" s="3">
        <v>9</v>
      </c>
    </row>
    <row r="95" spans="1:4" x14ac:dyDescent="0.25">
      <c r="A95" s="6">
        <v>66</v>
      </c>
      <c r="B95" s="3">
        <v>8</v>
      </c>
      <c r="C95" s="3">
        <v>6</v>
      </c>
      <c r="D95" s="3">
        <v>14</v>
      </c>
    </row>
    <row r="96" spans="1:4" x14ac:dyDescent="0.25">
      <c r="A96" s="6">
        <v>67</v>
      </c>
      <c r="B96" s="3">
        <v>8</v>
      </c>
      <c r="C96" s="3">
        <v>2</v>
      </c>
      <c r="D96" s="3">
        <v>10</v>
      </c>
    </row>
    <row r="97" spans="1:4" x14ac:dyDescent="0.25">
      <c r="A97" s="6">
        <v>68</v>
      </c>
      <c r="B97" s="3">
        <v>3</v>
      </c>
      <c r="C97" s="3"/>
      <c r="D97" s="3">
        <v>3</v>
      </c>
    </row>
    <row r="98" spans="1:4" x14ac:dyDescent="0.25">
      <c r="A98" s="6">
        <v>69</v>
      </c>
      <c r="B98" s="3">
        <v>8</v>
      </c>
      <c r="C98" s="3"/>
      <c r="D98" s="3">
        <v>8</v>
      </c>
    </row>
    <row r="99" spans="1:4" x14ac:dyDescent="0.25">
      <c r="A99" s="6">
        <v>70</v>
      </c>
      <c r="B99" s="3">
        <v>3</v>
      </c>
      <c r="C99" s="3">
        <v>1</v>
      </c>
      <c r="D99" s="3">
        <v>4</v>
      </c>
    </row>
    <row r="100" spans="1:4" x14ac:dyDescent="0.25">
      <c r="A100" s="6">
        <v>71</v>
      </c>
      <c r="B100" s="3">
        <v>1</v>
      </c>
      <c r="C100" s="3"/>
      <c r="D100" s="3">
        <v>1</v>
      </c>
    </row>
    <row r="101" spans="1:4" x14ac:dyDescent="0.25">
      <c r="A101" s="6">
        <v>72</v>
      </c>
      <c r="B101" s="3"/>
      <c r="C101" s="3">
        <v>1</v>
      </c>
      <c r="D101" s="3">
        <v>1</v>
      </c>
    </row>
    <row r="102" spans="1:4" x14ac:dyDescent="0.25">
      <c r="A102" s="6">
        <v>73</v>
      </c>
      <c r="B102" s="3">
        <v>2</v>
      </c>
      <c r="C102" s="3">
        <v>2</v>
      </c>
      <c r="D102" s="3">
        <v>4</v>
      </c>
    </row>
    <row r="103" spans="1:4" x14ac:dyDescent="0.25">
      <c r="A103" s="6">
        <v>74</v>
      </c>
      <c r="B103" s="3"/>
      <c r="C103" s="3">
        <v>1</v>
      </c>
      <c r="D103" s="3">
        <v>1</v>
      </c>
    </row>
    <row r="104" spans="1:4" x14ac:dyDescent="0.25">
      <c r="A104" s="6">
        <v>78</v>
      </c>
      <c r="B104" s="3">
        <v>1</v>
      </c>
      <c r="C104" s="3">
        <v>1</v>
      </c>
      <c r="D104" s="3">
        <v>2</v>
      </c>
    </row>
    <row r="105" spans="1:4" x14ac:dyDescent="0.25">
      <c r="A105" s="6">
        <v>80</v>
      </c>
      <c r="B105" s="3">
        <v>1</v>
      </c>
      <c r="C105" s="3"/>
      <c r="D105" s="3">
        <v>1</v>
      </c>
    </row>
    <row r="106" spans="1:4" x14ac:dyDescent="0.25">
      <c r="A106" s="6">
        <v>89</v>
      </c>
      <c r="B106" s="3">
        <v>1</v>
      </c>
      <c r="C106" s="3"/>
      <c r="D106" s="3">
        <v>1</v>
      </c>
    </row>
    <row r="107" spans="1:4" x14ac:dyDescent="0.25">
      <c r="A107" s="6" t="s">
        <v>42</v>
      </c>
      <c r="B107" s="3">
        <v>531</v>
      </c>
      <c r="C107" s="3">
        <v>495</v>
      </c>
      <c r="D107" s="3">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B8437-D55A-49B7-8381-FCA147EC6558}">
  <dimension ref="A1:R5"/>
  <sheetViews>
    <sheetView showGridLines="0" tabSelected="1" zoomScaleNormal="100" workbookViewId="0">
      <selection activeCell="T21" sqref="T21"/>
    </sheetView>
  </sheetViews>
  <sheetFormatPr defaultRowHeight="15" x14ac:dyDescent="0.25"/>
  <cols>
    <col min="15" max="15" width="16" customWidth="1"/>
  </cols>
  <sheetData>
    <row r="1" spans="1:18" x14ac:dyDescent="0.25">
      <c r="A1" s="8"/>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8"/>
      <c r="B3" s="8"/>
      <c r="C3" s="8"/>
      <c r="D3" s="8"/>
      <c r="E3" s="8"/>
      <c r="F3" s="8"/>
      <c r="G3" s="8"/>
      <c r="H3" s="8"/>
      <c r="I3" s="8"/>
      <c r="J3" s="8"/>
      <c r="K3" s="8"/>
      <c r="L3" s="8"/>
      <c r="M3" s="8"/>
      <c r="N3" s="8"/>
      <c r="O3" s="8"/>
      <c r="P3" s="8"/>
      <c r="Q3" s="8"/>
      <c r="R3" s="8"/>
    </row>
    <row r="4" spans="1:18" x14ac:dyDescent="0.25">
      <c r="A4" s="8"/>
      <c r="B4" s="8"/>
      <c r="C4" s="8"/>
      <c r="D4" s="8"/>
      <c r="E4" s="8"/>
      <c r="F4" s="8"/>
      <c r="G4" s="8"/>
      <c r="H4" s="8"/>
      <c r="I4" s="8"/>
      <c r="J4" s="8"/>
      <c r="K4" s="8"/>
      <c r="L4" s="8"/>
      <c r="M4" s="8"/>
      <c r="N4" s="8"/>
      <c r="O4" s="8"/>
      <c r="P4" s="8"/>
      <c r="Q4" s="8"/>
      <c r="R4" s="8"/>
    </row>
    <row r="5" spans="1:18" ht="61.5" x14ac:dyDescent="0.25">
      <c r="A5" s="8"/>
      <c r="B5" s="8"/>
      <c r="C5" s="8"/>
      <c r="D5" s="8"/>
      <c r="E5" s="8"/>
      <c r="F5" s="8"/>
      <c r="G5" s="9" t="s">
        <v>50</v>
      </c>
      <c r="H5" s="10"/>
      <c r="I5" s="10"/>
      <c r="J5" s="10"/>
      <c r="K5" s="10"/>
      <c r="L5" s="10"/>
      <c r="M5" s="10"/>
      <c r="N5" s="10"/>
      <c r="O5" s="10"/>
      <c r="P5" s="8"/>
      <c r="Q5" s="8"/>
      <c r="R5" s="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Space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Tshegofatso</dc:creator>
  <cp:lastModifiedBy>230403023</cp:lastModifiedBy>
  <dcterms:created xsi:type="dcterms:W3CDTF">2022-03-18T02:50:57Z</dcterms:created>
  <dcterms:modified xsi:type="dcterms:W3CDTF">2026-04-29T09:19:24Z</dcterms:modified>
</cp:coreProperties>
</file>